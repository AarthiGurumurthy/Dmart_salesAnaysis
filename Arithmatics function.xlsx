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mart sales Analysis\"/>
    </mc:Choice>
  </mc:AlternateContent>
  <xr:revisionPtr revIDLastSave="0" documentId="13_ncr:1_{437D9A4F-549A-4E5A-B60C-0F9520C3EE28}" xr6:coauthVersionLast="47" xr6:coauthVersionMax="47" xr10:uidLastSave="{00000000-0000-0000-0000-000000000000}"/>
  <bookViews>
    <workbookView xWindow="-120" yWindow="-120" windowWidth="20730" windowHeight="11160" firstSheet="4" activeTab="9" xr2:uid="{2B6E4641-DF59-45C7-A5BC-A0F90F324489}"/>
  </bookViews>
  <sheets>
    <sheet name="Arithmatic function" sheetId="1" r:id="rId1"/>
    <sheet name="Conditional Operater" sheetId="2" r:id="rId2"/>
    <sheet name="Logical Functions" sheetId="3" r:id="rId3"/>
    <sheet name="Trace Precedent&amp;Dependent" sheetId="4" r:id="rId4"/>
    <sheet name="New Range" sheetId="5" r:id="rId5"/>
    <sheet name="String Functions" sheetId="7" r:id="rId6"/>
    <sheet name="Date Function" sheetId="8" r:id="rId7"/>
    <sheet name="Flash Fill" sheetId="9" r:id="rId8"/>
    <sheet name="statics function" sheetId="10" r:id="rId9"/>
    <sheet name="Sheet2" sheetId="11" r:id="rId10"/>
  </sheets>
  <definedNames>
    <definedName name="New_ranage">'New Range'!$D$2:$D$10</definedName>
    <definedName name="Sales_2025">'New Range'!$B$2:$B$10</definedName>
    <definedName name="Sales_2026">'New Range'!$C$2:$C$10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0" l="1"/>
  <c r="K18" i="10"/>
  <c r="J18" i="10"/>
  <c r="D14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2" i="10"/>
  <c r="I15" i="10"/>
  <c r="I14" i="10"/>
  <c r="I13" i="10"/>
  <c r="I12" i="10"/>
  <c r="I11" i="10"/>
  <c r="I10" i="10"/>
  <c r="I8" i="10"/>
  <c r="I9" i="10"/>
  <c r="I7" i="10"/>
  <c r="I6" i="10"/>
  <c r="I3" i="10"/>
  <c r="I4" i="10"/>
  <c r="I5" i="10"/>
  <c r="I2" i="10"/>
  <c r="D10" i="10" a="1"/>
  <c r="D10" i="10" s="1"/>
  <c r="D11" i="10"/>
  <c r="D12" i="10"/>
  <c r="D13" i="10"/>
  <c r="D9" i="10"/>
  <c r="E4" i="10"/>
  <c r="F4" i="10"/>
  <c r="E7" i="10"/>
  <c r="D7" i="10"/>
  <c r="C11" i="8"/>
  <c r="E11" i="8" s="1"/>
  <c r="B9" i="8"/>
  <c r="B8" i="8"/>
  <c r="B7" i="8"/>
  <c r="B2" i="8"/>
  <c r="B1" i="8"/>
  <c r="B3" i="8" s="1"/>
  <c r="E18" i="7"/>
  <c r="B21" i="7"/>
  <c r="D18" i="7"/>
  <c r="C18" i="7"/>
  <c r="D15" i="7"/>
  <c r="C15" i="7"/>
  <c r="B15" i="7"/>
  <c r="B18" i="7"/>
  <c r="E5" i="7"/>
  <c r="C5" i="7"/>
  <c r="E2" i="7"/>
  <c r="D2" i="7"/>
  <c r="C2" i="7"/>
  <c r="F6" i="5"/>
  <c r="F5" i="5"/>
  <c r="D2" i="4"/>
  <c r="C7" i="4"/>
  <c r="A8" i="4"/>
  <c r="D5" i="4"/>
  <c r="E10" i="4"/>
  <c r="C10" i="4"/>
  <c r="J3" i="3"/>
  <c r="J4" i="3"/>
  <c r="J5" i="3"/>
  <c r="J6" i="3"/>
  <c r="J2" i="3"/>
  <c r="I3" i="3"/>
  <c r="I4" i="3"/>
  <c r="I5" i="3"/>
  <c r="I6" i="3"/>
  <c r="I2" i="3"/>
  <c r="H3" i="3"/>
  <c r="H4" i="3"/>
  <c r="H5" i="3"/>
  <c r="H6" i="3"/>
  <c r="H2" i="3"/>
  <c r="G3" i="3"/>
  <c r="G4" i="3"/>
  <c r="G5" i="3"/>
  <c r="G6" i="3"/>
  <c r="G2" i="3"/>
  <c r="F3" i="3"/>
  <c r="F4" i="3"/>
  <c r="F5" i="3"/>
  <c r="F6" i="3"/>
  <c r="F2" i="3"/>
  <c r="I3" i="2"/>
  <c r="I4" i="2"/>
  <c r="I5" i="2"/>
  <c r="I6" i="2"/>
  <c r="I7" i="2"/>
  <c r="I8" i="2"/>
  <c r="I9" i="2"/>
  <c r="I10" i="2"/>
  <c r="I2" i="2"/>
  <c r="H3" i="2"/>
  <c r="H4" i="2"/>
  <c r="H5" i="2"/>
  <c r="H6" i="2"/>
  <c r="H7" i="2"/>
  <c r="H8" i="2"/>
  <c r="H9" i="2"/>
  <c r="H10" i="2"/>
  <c r="H2" i="2"/>
  <c r="G3" i="2"/>
  <c r="G4" i="2"/>
  <c r="G5" i="2"/>
  <c r="G6" i="2"/>
  <c r="G7" i="2"/>
  <c r="G8" i="2"/>
  <c r="G9" i="2"/>
  <c r="G10" i="2"/>
  <c r="G2" i="2"/>
  <c r="F3" i="2"/>
  <c r="F4" i="2"/>
  <c r="F5" i="2"/>
  <c r="F6" i="2"/>
  <c r="F7" i="2"/>
  <c r="F8" i="2"/>
  <c r="F9" i="2"/>
  <c r="F10" i="2"/>
  <c r="F2" i="2"/>
  <c r="E3" i="2"/>
  <c r="E4" i="2"/>
  <c r="E5" i="2"/>
  <c r="E6" i="2"/>
  <c r="E7" i="2"/>
  <c r="E8" i="2"/>
  <c r="E9" i="2"/>
  <c r="E10" i="2"/>
  <c r="E2" i="2"/>
  <c r="D3" i="2"/>
  <c r="D4" i="2"/>
  <c r="D5" i="2"/>
  <c r="D6" i="2"/>
  <c r="D7" i="2"/>
  <c r="D8" i="2"/>
  <c r="D9" i="2"/>
  <c r="D10" i="2"/>
  <c r="D2" i="2"/>
  <c r="C3" i="2"/>
  <c r="C4" i="2"/>
  <c r="C5" i="2"/>
  <c r="C6" i="2"/>
  <c r="C7" i="2"/>
  <c r="C8" i="2"/>
  <c r="C9" i="2"/>
  <c r="C10" i="2"/>
  <c r="C2" i="2"/>
  <c r="J25" i="1"/>
  <c r="J26" i="1"/>
  <c r="J24" i="1"/>
  <c r="J23" i="1"/>
  <c r="J22" i="1"/>
  <c r="J21" i="1"/>
  <c r="F23" i="1"/>
  <c r="F22" i="1"/>
  <c r="G21" i="1"/>
  <c r="K4" i="1"/>
  <c r="J4" i="1"/>
  <c r="K12" i="1"/>
  <c r="K13" i="1"/>
  <c r="K14" i="1"/>
  <c r="K15" i="1"/>
  <c r="K16" i="1"/>
  <c r="K17" i="1"/>
  <c r="K11" i="1"/>
  <c r="K5" i="1"/>
  <c r="K6" i="1"/>
  <c r="K7" i="1"/>
  <c r="K8" i="1"/>
  <c r="K9" i="1"/>
  <c r="K10" i="1"/>
  <c r="J12" i="1"/>
  <c r="J13" i="1"/>
  <c r="J14" i="1"/>
  <c r="J15" i="1"/>
  <c r="J16" i="1"/>
  <c r="J17" i="1"/>
  <c r="J11" i="1"/>
  <c r="J5" i="1"/>
  <c r="J6" i="1"/>
  <c r="J7" i="1"/>
  <c r="J8" i="1"/>
  <c r="J9" i="1"/>
  <c r="J10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4" i="1"/>
  <c r="G8" i="1"/>
  <c r="G12" i="1"/>
  <c r="G16" i="1"/>
  <c r="G5" i="1"/>
  <c r="G6" i="1"/>
  <c r="G7" i="1"/>
  <c r="G9" i="1"/>
  <c r="G10" i="1"/>
  <c r="G11" i="1"/>
  <c r="G13" i="1"/>
  <c r="G14" i="1"/>
  <c r="G15" i="1"/>
  <c r="G17" i="1"/>
  <c r="G4" i="1"/>
  <c r="E8" i="1"/>
  <c r="D4" i="10" l="1"/>
  <c r="B15" i="8"/>
  <c r="E13" i="8"/>
  <c r="E12" i="8"/>
  <c r="B6" i="8"/>
  <c r="B5" i="8"/>
  <c r="B4" i="8"/>
  <c r="F10" i="1"/>
  <c r="F6" i="1"/>
  <c r="F16" i="1"/>
  <c r="F12" i="1"/>
  <c r="F14" i="1"/>
  <c r="F17" i="1"/>
  <c r="F13" i="1"/>
  <c r="F5" i="1"/>
  <c r="F15" i="1"/>
  <c r="F11" i="1"/>
  <c r="F7" i="1"/>
  <c r="F8" i="1"/>
  <c r="F4" i="1"/>
  <c r="E9" i="1"/>
  <c r="E16" i="1"/>
  <c r="E12" i="1"/>
  <c r="F9" i="1"/>
  <c r="E13" i="1"/>
  <c r="E5" i="1"/>
  <c r="E4" i="1"/>
  <c r="E15" i="1"/>
  <c r="E11" i="1"/>
  <c r="E7" i="1"/>
  <c r="E17" i="1"/>
  <c r="E14" i="1"/>
  <c r="E10" i="1"/>
  <c r="E6" i="1"/>
</calcChain>
</file>

<file path=xl/sharedStrings.xml><?xml version="1.0" encoding="utf-8"?>
<sst xmlns="http://schemas.openxmlformats.org/spreadsheetml/2006/main" count="170" uniqueCount="147">
  <si>
    <t>A</t>
  </si>
  <si>
    <t>B</t>
  </si>
  <si>
    <t>ADDITION</t>
  </si>
  <si>
    <t>SUBRACTION</t>
  </si>
  <si>
    <t>PRODUCT</t>
  </si>
  <si>
    <t>MULTIPLICATION</t>
  </si>
  <si>
    <t>DEVISION</t>
  </si>
  <si>
    <t>EXPONENTIAL</t>
  </si>
  <si>
    <t>POWER</t>
  </si>
  <si>
    <t>MODULO</t>
  </si>
  <si>
    <t>SQURE ROOT</t>
  </si>
  <si>
    <t>AGGREGATED FUNCTION</t>
  </si>
  <si>
    <t>SUM</t>
  </si>
  <si>
    <t>AVERAGE</t>
  </si>
  <si>
    <t>ROUND</t>
  </si>
  <si>
    <t>COUNT</t>
  </si>
  <si>
    <t>MINIMUM</t>
  </si>
  <si>
    <t>MAXIMUM</t>
  </si>
  <si>
    <t>RESULT-A</t>
  </si>
  <si>
    <t>RESULT-B</t>
  </si>
  <si>
    <t>ELIGIBILITY(AND)</t>
  </si>
  <si>
    <t>ELIGIBILITY(OR)</t>
  </si>
  <si>
    <t>if+not(A)</t>
  </si>
  <si>
    <t>if+not(B)</t>
  </si>
  <si>
    <t>&gt;=90</t>
  </si>
  <si>
    <t>GRADE A</t>
  </si>
  <si>
    <t>&gt;=75</t>
  </si>
  <si>
    <t>GRADE B</t>
  </si>
  <si>
    <t>&gt;=50</t>
  </si>
  <si>
    <t xml:space="preserve">GRADE F </t>
  </si>
  <si>
    <t>GRADE C</t>
  </si>
  <si>
    <t>GRADE</t>
  </si>
  <si>
    <t>Sr.no</t>
  </si>
  <si>
    <t>Names</t>
  </si>
  <si>
    <t>Sales</t>
  </si>
  <si>
    <t>Attendence</t>
  </si>
  <si>
    <t>Training Done</t>
  </si>
  <si>
    <t>Anand</t>
  </si>
  <si>
    <t>Babu</t>
  </si>
  <si>
    <t>Vishnu</t>
  </si>
  <si>
    <t>David</t>
  </si>
  <si>
    <t>Prashant</t>
  </si>
  <si>
    <t>yes</t>
  </si>
  <si>
    <t>no</t>
  </si>
  <si>
    <t>Target</t>
  </si>
  <si>
    <t>Bonus</t>
  </si>
  <si>
    <t>REVIEW</t>
  </si>
  <si>
    <t>Pending Profile</t>
  </si>
  <si>
    <t>Sales_Tiers</t>
  </si>
  <si>
    <t>Price</t>
  </si>
  <si>
    <t>Quantity</t>
  </si>
  <si>
    <t>Total Amount</t>
  </si>
  <si>
    <t>Discount</t>
  </si>
  <si>
    <t>Product</t>
  </si>
  <si>
    <t>C</t>
  </si>
  <si>
    <t>New ranage</t>
  </si>
  <si>
    <t xml:space="preserve">           mdukHSIDJAjudj             </t>
  </si>
  <si>
    <t>len()</t>
  </si>
  <si>
    <t>trim()</t>
  </si>
  <si>
    <t>upper()</t>
  </si>
  <si>
    <t>lower()</t>
  </si>
  <si>
    <t>proper()</t>
  </si>
  <si>
    <t>len()-count the length of thestring</t>
  </si>
  <si>
    <t>trim()-remove extra space</t>
  </si>
  <si>
    <t>upper()-convert uppercase</t>
  </si>
  <si>
    <t>lower()-convert lowercase</t>
  </si>
  <si>
    <t>proper()-capital the firstletter</t>
  </si>
  <si>
    <t>basic function</t>
  </si>
  <si>
    <t>HELLO WORLD</t>
  </si>
  <si>
    <t>LEFT</t>
  </si>
  <si>
    <t>RIGHT</t>
  </si>
  <si>
    <t>MID</t>
  </si>
  <si>
    <t>FIND()</t>
  </si>
  <si>
    <t>SEARCH()</t>
  </si>
  <si>
    <t>REPLACE()</t>
  </si>
  <si>
    <t>SUBSITITUE()</t>
  </si>
  <si>
    <t>CONCATENATE()</t>
  </si>
  <si>
    <t>HELLO INDIA</t>
  </si>
  <si>
    <t>Today()</t>
  </si>
  <si>
    <t>Now()</t>
  </si>
  <si>
    <t>Year()</t>
  </si>
  <si>
    <t>Day()</t>
  </si>
  <si>
    <t>Month()</t>
  </si>
  <si>
    <t>WeekDay()</t>
  </si>
  <si>
    <t>Weelnum()</t>
  </si>
  <si>
    <t>Text()</t>
  </si>
  <si>
    <t>(Month)</t>
  </si>
  <si>
    <t>(DATE)</t>
  </si>
  <si>
    <t>YEARS DIFFERENCE</t>
  </si>
  <si>
    <t>ADDED MONTH</t>
  </si>
  <si>
    <t>DATE Difference</t>
  </si>
  <si>
    <t>Edate()</t>
  </si>
  <si>
    <t>Sr.No</t>
  </si>
  <si>
    <t>Name</t>
  </si>
  <si>
    <t>ID</t>
  </si>
  <si>
    <t>Frist Name</t>
  </si>
  <si>
    <t>Email</t>
  </si>
  <si>
    <t>Sarah Jenkins</t>
  </si>
  <si>
    <t>Michael Chang</t>
  </si>
  <si>
    <t>John Smith</t>
  </si>
  <si>
    <t>ID-2024-NY-Active</t>
  </si>
  <si>
    <t>ID-2025-CA-Pending</t>
  </si>
  <si>
    <t>ID-2025-TX-Active</t>
  </si>
  <si>
    <t>John</t>
  </si>
  <si>
    <t>Sarah</t>
  </si>
  <si>
    <t>Michael</t>
  </si>
  <si>
    <t>State</t>
  </si>
  <si>
    <t>NY</t>
  </si>
  <si>
    <t>CA</t>
  </si>
  <si>
    <t>TX</t>
  </si>
  <si>
    <t>s.john@company.com</t>
  </si>
  <si>
    <t>j.sarah@company.com</t>
  </si>
  <si>
    <t>c.michael@company.com</t>
  </si>
  <si>
    <t>Chennai</t>
  </si>
  <si>
    <t>Bangalore</t>
  </si>
  <si>
    <t>Pune</t>
  </si>
  <si>
    <t>Mumbai</t>
  </si>
  <si>
    <t>median</t>
  </si>
  <si>
    <t>Function</t>
  </si>
  <si>
    <t>formula</t>
  </si>
  <si>
    <t>mean</t>
  </si>
  <si>
    <t>(n+1)/2</t>
  </si>
  <si>
    <t>sum of a</t>
  </si>
  <si>
    <t>count of a</t>
  </si>
  <si>
    <t>mode</t>
  </si>
  <si>
    <t>variance</t>
  </si>
  <si>
    <t>Deviation</t>
  </si>
  <si>
    <t>squre deviation</t>
  </si>
  <si>
    <t>Standard Deviation</t>
  </si>
  <si>
    <t>Standand dev</t>
  </si>
  <si>
    <t>sqr var</t>
  </si>
  <si>
    <t>avg sqr value of deviation</t>
  </si>
  <si>
    <t>s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</si>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</sst>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14" fontId="0" fillId="0" borderId="0" xfId="0" applyNumberFormat="1"/>
    <xf numFmtId="14" fontId="2" fillId="2" borderId="0" xfId="0" applyNumberFormat="1" applyFont="1" applyFill="1"/>
    <xf numFmtId="0" fontId="2" fillId="2" borderId="0" xfId="0" applyFont="1" applyFill="1"/>
    <xf numFmtId="0" fontId="0" fillId="3" borderId="0" xfId="0" applyFill="1"/>
    <xf numFmtId="14" fontId="0" fillId="3" borderId="0" xfId="0" applyNumberFormat="1" applyFill="1"/>
    <xf numFmtId="22" fontId="0" fillId="3" borderId="0" xfId="0" applyNumberFormat="1" applyFill="1"/>
    <xf numFmtId="0" fontId="0" fillId="0" borderId="1" xfId="0" applyBorder="1"/>
    <xf numFmtId="0" fontId="0" fillId="0" borderId="0" xfId="0" applyAlignment="1">
      <alignment horizontal="left"/>
    </xf>
    <xf numFmtId="0" fontId="3" fillId="0" borderId="0" xfId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Hyperlink" xfId="1" builtinId="8"/>
    <cellStyle name="Normal" xfId="0" builtinId="0"/>
  </cellStyles>
  <dxfs count="7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c.michael@company.com" TargetMode="External"/><Relationship Id="rId2" Type="http://schemas.openxmlformats.org/officeDocument/2006/relationships/hyperlink" Target="mailto:j.sarah@company.com" TargetMode="External"/><Relationship Id="rId1" Type="http://schemas.openxmlformats.org/officeDocument/2006/relationships/hyperlink" Target="mailto:s.john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505A0-E329-456E-BFA0-FD8AA41BBF82}">
  <dimension ref="C3:K26"/>
  <sheetViews>
    <sheetView workbookViewId="0">
      <selection activeCell="J26" sqref="J26"/>
    </sheetView>
  </sheetViews>
  <sheetFormatPr defaultRowHeight="15" x14ac:dyDescent="0.25"/>
  <cols>
    <col min="5" max="5" width="11.7109375" customWidth="1"/>
    <col min="6" max="6" width="13.28515625" customWidth="1"/>
    <col min="7" max="7" width="11.140625" customWidth="1"/>
    <col min="8" max="8" width="15.7109375" customWidth="1"/>
    <col min="10" max="10" width="12.85546875" customWidth="1"/>
  </cols>
  <sheetData>
    <row r="3" spans="3:11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</row>
    <row r="4" spans="3:11" x14ac:dyDescent="0.25">
      <c r="C4">
        <v>58</v>
      </c>
      <c r="D4">
        <v>78</v>
      </c>
      <c r="E4">
        <f>C4+D4</f>
        <v>136</v>
      </c>
      <c r="F4">
        <f>C4-D4</f>
        <v>-20</v>
      </c>
      <c r="G4">
        <f>PRODUCT(C4,D4)</f>
        <v>4524</v>
      </c>
      <c r="H4">
        <f>C4*D4</f>
        <v>4524</v>
      </c>
      <c r="I4">
        <f>C4/D4</f>
        <v>0.74358974358974361</v>
      </c>
      <c r="J4">
        <f>C4^2</f>
        <v>3364</v>
      </c>
      <c r="K4">
        <f>POWER(C4,2)</f>
        <v>3364</v>
      </c>
    </row>
    <row r="5" spans="3:11" x14ac:dyDescent="0.25">
      <c r="C5">
        <v>23</v>
      </c>
      <c r="D5">
        <v>13</v>
      </c>
      <c r="E5">
        <f t="shared" ref="E5:E17" si="0">C5+D5</f>
        <v>36</v>
      </c>
      <c r="F5">
        <f t="shared" ref="F5:F17" si="1">C5-D5</f>
        <v>10</v>
      </c>
      <c r="G5">
        <f t="shared" ref="G5:G17" si="2">PRODUCT(C5,D5)</f>
        <v>299</v>
      </c>
      <c r="H5">
        <f t="shared" ref="H5:H17" si="3">C5*D5</f>
        <v>299</v>
      </c>
      <c r="I5">
        <f t="shared" ref="I5:I17" si="4">C5/D5</f>
        <v>1.7692307692307692</v>
      </c>
      <c r="J5">
        <f t="shared" ref="J5:J10" si="5">C5^2</f>
        <v>529</v>
      </c>
      <c r="K5">
        <f t="shared" ref="K5:K10" si="6">POWER(C5,2)</f>
        <v>529</v>
      </c>
    </row>
    <row r="6" spans="3:11" x14ac:dyDescent="0.25">
      <c r="C6">
        <v>81</v>
      </c>
      <c r="D6">
        <v>23</v>
      </c>
      <c r="E6">
        <f t="shared" si="0"/>
        <v>104</v>
      </c>
      <c r="F6">
        <f t="shared" si="1"/>
        <v>58</v>
      </c>
      <c r="G6">
        <f t="shared" si="2"/>
        <v>1863</v>
      </c>
      <c r="H6">
        <f t="shared" si="3"/>
        <v>1863</v>
      </c>
      <c r="I6">
        <f t="shared" si="4"/>
        <v>3.5217391304347827</v>
      </c>
      <c r="J6">
        <f t="shared" si="5"/>
        <v>6561</v>
      </c>
      <c r="K6">
        <f t="shared" si="6"/>
        <v>6561</v>
      </c>
    </row>
    <row r="7" spans="3:11" x14ac:dyDescent="0.25">
      <c r="C7">
        <v>12</v>
      </c>
      <c r="D7">
        <v>70</v>
      </c>
      <c r="E7">
        <f t="shared" si="0"/>
        <v>82</v>
      </c>
      <c r="F7">
        <f t="shared" si="1"/>
        <v>-58</v>
      </c>
      <c r="G7">
        <f t="shared" si="2"/>
        <v>840</v>
      </c>
      <c r="H7">
        <f t="shared" si="3"/>
        <v>840</v>
      </c>
      <c r="I7">
        <f t="shared" si="4"/>
        <v>0.17142857142857143</v>
      </c>
      <c r="J7">
        <f t="shared" si="5"/>
        <v>144</v>
      </c>
      <c r="K7">
        <f t="shared" si="6"/>
        <v>144</v>
      </c>
    </row>
    <row r="8" spans="3:11" x14ac:dyDescent="0.25">
      <c r="C8">
        <v>31</v>
      </c>
      <c r="D8">
        <v>69</v>
      </c>
      <c r="E8">
        <f t="shared" si="0"/>
        <v>100</v>
      </c>
      <c r="F8">
        <f t="shared" si="1"/>
        <v>-38</v>
      </c>
      <c r="G8">
        <f t="shared" si="2"/>
        <v>2139</v>
      </c>
      <c r="H8">
        <f t="shared" si="3"/>
        <v>2139</v>
      </c>
      <c r="I8">
        <f t="shared" si="4"/>
        <v>0.44927536231884058</v>
      </c>
      <c r="J8">
        <f t="shared" si="5"/>
        <v>961</v>
      </c>
      <c r="K8">
        <f t="shared" si="6"/>
        <v>961</v>
      </c>
    </row>
    <row r="9" spans="3:11" x14ac:dyDescent="0.25">
      <c r="C9">
        <v>43</v>
      </c>
      <c r="D9">
        <v>14</v>
      </c>
      <c r="E9">
        <f t="shared" si="0"/>
        <v>57</v>
      </c>
      <c r="F9">
        <f t="shared" si="1"/>
        <v>29</v>
      </c>
      <c r="G9">
        <f t="shared" si="2"/>
        <v>602</v>
      </c>
      <c r="H9">
        <f t="shared" si="3"/>
        <v>602</v>
      </c>
      <c r="I9">
        <f t="shared" si="4"/>
        <v>3.0714285714285716</v>
      </c>
      <c r="J9">
        <f t="shared" si="5"/>
        <v>1849</v>
      </c>
      <c r="K9">
        <f t="shared" si="6"/>
        <v>1849</v>
      </c>
    </row>
    <row r="10" spans="3:11" x14ac:dyDescent="0.25">
      <c r="C10">
        <v>15</v>
      </c>
      <c r="D10">
        <v>46</v>
      </c>
      <c r="E10">
        <f t="shared" si="0"/>
        <v>61</v>
      </c>
      <c r="F10">
        <f t="shared" si="1"/>
        <v>-31</v>
      </c>
      <c r="G10">
        <f t="shared" si="2"/>
        <v>690</v>
      </c>
      <c r="H10">
        <f t="shared" si="3"/>
        <v>690</v>
      </c>
      <c r="I10">
        <f t="shared" si="4"/>
        <v>0.32608695652173914</v>
      </c>
      <c r="J10">
        <f t="shared" si="5"/>
        <v>225</v>
      </c>
      <c r="K10">
        <f t="shared" si="6"/>
        <v>225</v>
      </c>
    </row>
    <row r="11" spans="3:11" x14ac:dyDescent="0.25">
      <c r="C11">
        <v>98</v>
      </c>
      <c r="D11">
        <v>56</v>
      </c>
      <c r="E11">
        <f t="shared" si="0"/>
        <v>154</v>
      </c>
      <c r="F11">
        <f t="shared" si="1"/>
        <v>42</v>
      </c>
      <c r="G11">
        <f t="shared" si="2"/>
        <v>5488</v>
      </c>
      <c r="H11">
        <f t="shared" si="3"/>
        <v>5488</v>
      </c>
      <c r="I11">
        <f t="shared" si="4"/>
        <v>1.75</v>
      </c>
      <c r="J11">
        <f>D11^4</f>
        <v>9834496</v>
      </c>
      <c r="K11">
        <f>POWER(D11,4)</f>
        <v>9834496</v>
      </c>
    </row>
    <row r="12" spans="3:11" x14ac:dyDescent="0.25">
      <c r="C12">
        <v>54</v>
      </c>
      <c r="D12">
        <v>64</v>
      </c>
      <c r="E12">
        <f t="shared" si="0"/>
        <v>118</v>
      </c>
      <c r="F12">
        <f t="shared" si="1"/>
        <v>-10</v>
      </c>
      <c r="G12">
        <f t="shared" si="2"/>
        <v>3456</v>
      </c>
      <c r="H12">
        <f t="shared" si="3"/>
        <v>3456</v>
      </c>
      <c r="I12">
        <f t="shared" si="4"/>
        <v>0.84375</v>
      </c>
      <c r="J12">
        <f t="shared" ref="J12:J17" si="7">D12^4</f>
        <v>16777216</v>
      </c>
      <c r="K12">
        <f t="shared" ref="K12:K17" si="8">POWER(D12,4)</f>
        <v>16777216</v>
      </c>
    </row>
    <row r="13" spans="3:11" x14ac:dyDescent="0.25">
      <c r="C13">
        <v>72</v>
      </c>
      <c r="D13">
        <v>70</v>
      </c>
      <c r="E13">
        <f t="shared" si="0"/>
        <v>142</v>
      </c>
      <c r="F13">
        <f t="shared" si="1"/>
        <v>2</v>
      </c>
      <c r="G13">
        <f t="shared" si="2"/>
        <v>5040</v>
      </c>
      <c r="H13">
        <f t="shared" si="3"/>
        <v>5040</v>
      </c>
      <c r="I13">
        <f t="shared" si="4"/>
        <v>1.0285714285714285</v>
      </c>
      <c r="J13">
        <f t="shared" si="7"/>
        <v>24010000</v>
      </c>
      <c r="K13">
        <f t="shared" si="8"/>
        <v>24010000</v>
      </c>
    </row>
    <row r="14" spans="3:11" x14ac:dyDescent="0.25">
      <c r="C14">
        <v>91</v>
      </c>
      <c r="D14">
        <v>46</v>
      </c>
      <c r="E14">
        <f t="shared" si="0"/>
        <v>137</v>
      </c>
      <c r="F14">
        <f t="shared" si="1"/>
        <v>45</v>
      </c>
      <c r="G14">
        <f t="shared" si="2"/>
        <v>4186</v>
      </c>
      <c r="H14">
        <f t="shared" si="3"/>
        <v>4186</v>
      </c>
      <c r="I14">
        <f t="shared" si="4"/>
        <v>1.9782608695652173</v>
      </c>
      <c r="J14">
        <f t="shared" si="7"/>
        <v>4477456</v>
      </c>
      <c r="K14">
        <f t="shared" si="8"/>
        <v>4477456</v>
      </c>
    </row>
    <row r="15" spans="3:11" x14ac:dyDescent="0.25">
      <c r="C15">
        <v>84</v>
      </c>
      <c r="D15">
        <v>52</v>
      </c>
      <c r="E15">
        <f t="shared" si="0"/>
        <v>136</v>
      </c>
      <c r="F15">
        <f t="shared" si="1"/>
        <v>32</v>
      </c>
      <c r="G15">
        <f t="shared" si="2"/>
        <v>4368</v>
      </c>
      <c r="H15">
        <f t="shared" si="3"/>
        <v>4368</v>
      </c>
      <c r="I15">
        <f t="shared" si="4"/>
        <v>1.6153846153846154</v>
      </c>
      <c r="J15">
        <f t="shared" si="7"/>
        <v>7311616</v>
      </c>
      <c r="K15">
        <f t="shared" si="8"/>
        <v>7311616</v>
      </c>
    </row>
    <row r="16" spans="3:11" x14ac:dyDescent="0.25">
      <c r="C16">
        <v>69</v>
      </c>
      <c r="D16">
        <v>30</v>
      </c>
      <c r="E16">
        <f t="shared" si="0"/>
        <v>99</v>
      </c>
      <c r="F16">
        <f t="shared" si="1"/>
        <v>39</v>
      </c>
      <c r="G16">
        <f t="shared" si="2"/>
        <v>2070</v>
      </c>
      <c r="H16">
        <f t="shared" si="3"/>
        <v>2070</v>
      </c>
      <c r="I16">
        <f t="shared" si="4"/>
        <v>2.2999999999999998</v>
      </c>
      <c r="J16">
        <f t="shared" si="7"/>
        <v>810000</v>
      </c>
      <c r="K16">
        <f t="shared" si="8"/>
        <v>810000</v>
      </c>
    </row>
    <row r="17" spans="3:11" x14ac:dyDescent="0.25">
      <c r="C17">
        <v>63</v>
      </c>
      <c r="D17">
        <v>33</v>
      </c>
      <c r="E17">
        <f t="shared" si="0"/>
        <v>96</v>
      </c>
      <c r="F17">
        <f t="shared" si="1"/>
        <v>30</v>
      </c>
      <c r="G17">
        <f t="shared" si="2"/>
        <v>2079</v>
      </c>
      <c r="H17">
        <f t="shared" si="3"/>
        <v>2079</v>
      </c>
      <c r="I17">
        <f t="shared" si="4"/>
        <v>1.9090909090909092</v>
      </c>
      <c r="J17">
        <f t="shared" si="7"/>
        <v>1185921</v>
      </c>
      <c r="K17">
        <f t="shared" si="8"/>
        <v>1185921</v>
      </c>
    </row>
    <row r="20" spans="3:11" x14ac:dyDescent="0.25">
      <c r="G20" t="s">
        <v>10</v>
      </c>
      <c r="I20" t="s">
        <v>11</v>
      </c>
    </row>
    <row r="21" spans="3:11" x14ac:dyDescent="0.25">
      <c r="F21" t="s">
        <v>9</v>
      </c>
      <c r="G21">
        <f>SQRT(G17)</f>
        <v>45.596052460711988</v>
      </c>
      <c r="I21" t="s">
        <v>12</v>
      </c>
      <c r="J21">
        <f>SUM(C16:D16)</f>
        <v>99</v>
      </c>
    </row>
    <row r="22" spans="3:11" x14ac:dyDescent="0.25">
      <c r="F22">
        <f>MOD(D17,E17)</f>
        <v>33</v>
      </c>
      <c r="I22" t="s">
        <v>13</v>
      </c>
      <c r="J22">
        <f>AVERAGE(C16:D16)</f>
        <v>49.5</v>
      </c>
    </row>
    <row r="23" spans="3:11" x14ac:dyDescent="0.25">
      <c r="F23">
        <f>QUOTIENT(D17,E17)</f>
        <v>0</v>
      </c>
      <c r="I23" t="s">
        <v>14</v>
      </c>
      <c r="J23">
        <f>ROUND(AVERAGE(C17:D17),2)</f>
        <v>48</v>
      </c>
    </row>
    <row r="24" spans="3:11" x14ac:dyDescent="0.25">
      <c r="I24" t="s">
        <v>15</v>
      </c>
      <c r="J24">
        <f>COUNT(C15:D15)</f>
        <v>2</v>
      </c>
    </row>
    <row r="25" spans="3:11" x14ac:dyDescent="0.25">
      <c r="I25" t="s">
        <v>16</v>
      </c>
      <c r="J25">
        <f>MIN(C13:D13)</f>
        <v>70</v>
      </c>
    </row>
    <row r="26" spans="3:11" x14ac:dyDescent="0.25">
      <c r="I26" t="s">
        <v>17</v>
      </c>
      <c r="J26">
        <f>MAX(C16:D16)</f>
        <v>69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54B61-6E1D-4DFD-A461-B11114C2B8F0}">
  <dimension ref="A1:I15"/>
  <sheetViews>
    <sheetView zoomScale="172" zoomScaleNormal="172" workbookViewId="0">
      <selection activeCell="B2" sqref="B2"/>
    </sheetView>
  </sheetViews>
  <sheetFormatPr defaultRowHeight="15" x14ac:dyDescent="0.25"/>
  <cols>
    <col min="5" max="5" width="14.7109375" customWidth="1"/>
    <col min="6" max="6" width="15.85546875" customWidth="1"/>
  </cols>
  <sheetData>
    <row r="1" spans="1:9" x14ac:dyDescent="0.25">
      <c r="A1" t="s">
        <v>0</v>
      </c>
      <c r="B1" t="s">
        <v>1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31</v>
      </c>
    </row>
    <row r="2" spans="1:9" x14ac:dyDescent="0.25">
      <c r="A2">
        <v>36</v>
      </c>
      <c r="B2">
        <v>64</v>
      </c>
      <c r="C2" t="str">
        <f>IF(A2&gt;=50,"PASS","FAIL")</f>
        <v>FAIL</v>
      </c>
      <c r="D2" t="str">
        <f>IF(B2&gt;=50,"PASS","FAIL")</f>
        <v>PASS</v>
      </c>
      <c r="E2" t="str">
        <f>IF(AND(A2&gt;=50,B2&gt;=50),"Eligible","Not Eligible")</f>
        <v>Not Eligible</v>
      </c>
      <c r="F2" t="str">
        <f>IF(OR(A2&gt;=50,B2&gt;=50),"Eligible","Not Eligible")</f>
        <v>Eligible</v>
      </c>
      <c r="G2" t="str">
        <f>IF(NOT(A2&gt;=50),"YES","NO")</f>
        <v>YES</v>
      </c>
      <c r="H2" t="str">
        <f>IF(NOT(B2&gt;=50),"YES","NO")</f>
        <v>NO</v>
      </c>
      <c r="I2" t="str">
        <f>IF(A2&gt;=90,"GRADE A",IF(A2&gt;=75,"GRADE B",IF(A2&gt;=50,"GRADE C","GRADE F")))</f>
        <v>GRADE F</v>
      </c>
    </row>
    <row r="3" spans="1:9" x14ac:dyDescent="0.25">
      <c r="A3">
        <v>41</v>
      </c>
      <c r="B3">
        <v>61</v>
      </c>
      <c r="C3" t="str">
        <f t="shared" ref="C3:C10" si="0">IF(A3&gt;=50,"PASS","FAIL")</f>
        <v>FAIL</v>
      </c>
      <c r="D3" t="str">
        <f t="shared" ref="D3:D10" si="1">IF(B3&gt;=50,"PASS","FAIL")</f>
        <v>PASS</v>
      </c>
      <c r="E3" t="str">
        <f t="shared" ref="E3:E10" si="2">IF(AND(A3&gt;=50,B3&gt;=50),"Eligible","Not Eligible")</f>
        <v>Not Eligible</v>
      </c>
      <c r="F3" t="str">
        <f t="shared" ref="F3:F10" si="3">IF(OR(A3&gt;=50,B3&gt;=50),"Eligible","Not Eligible")</f>
        <v>Eligible</v>
      </c>
      <c r="G3" t="str">
        <f t="shared" ref="G3:G10" si="4">IF(NOT(A3&gt;=50),"YES","NO")</f>
        <v>YES</v>
      </c>
      <c r="H3" t="str">
        <f t="shared" ref="H3:H10" si="5">IF(NOT(B3&gt;=50),"YES","NO")</f>
        <v>NO</v>
      </c>
      <c r="I3" t="str">
        <f t="shared" ref="I3:I10" si="6">IF(A3&gt;=90,"GRADE A",IF(A3&gt;=75,"GRADE B",IF(A3&gt;=50,"GRADE C","GRADE F")))</f>
        <v>GRADE F</v>
      </c>
    </row>
    <row r="4" spans="1:9" x14ac:dyDescent="0.25">
      <c r="A4">
        <v>77</v>
      </c>
      <c r="B4">
        <v>95</v>
      </c>
      <c r="C4" t="str">
        <f t="shared" si="0"/>
        <v>PASS</v>
      </c>
      <c r="D4" t="str">
        <f t="shared" si="1"/>
        <v>PASS</v>
      </c>
      <c r="E4" t="str">
        <f t="shared" si="2"/>
        <v>Eligible</v>
      </c>
      <c r="F4" t="str">
        <f t="shared" si="3"/>
        <v>Eligible</v>
      </c>
      <c r="G4" t="str">
        <f t="shared" si="4"/>
        <v>NO</v>
      </c>
      <c r="H4" t="str">
        <f t="shared" si="5"/>
        <v>NO</v>
      </c>
      <c r="I4" t="str">
        <f t="shared" si="6"/>
        <v>GRADE B</v>
      </c>
    </row>
    <row r="5" spans="1:9" x14ac:dyDescent="0.25">
      <c r="A5">
        <v>83</v>
      </c>
      <c r="B5">
        <v>89</v>
      </c>
      <c r="C5" t="str">
        <f t="shared" si="0"/>
        <v>PASS</v>
      </c>
      <c r="D5" t="str">
        <f t="shared" si="1"/>
        <v>PASS</v>
      </c>
      <c r="E5" t="str">
        <f t="shared" si="2"/>
        <v>Eligible</v>
      </c>
      <c r="F5" t="str">
        <f t="shared" si="3"/>
        <v>Eligible</v>
      </c>
      <c r="G5" t="str">
        <f t="shared" si="4"/>
        <v>NO</v>
      </c>
      <c r="H5" t="str">
        <f t="shared" si="5"/>
        <v>NO</v>
      </c>
      <c r="I5" t="str">
        <f t="shared" si="6"/>
        <v>GRADE B</v>
      </c>
    </row>
    <row r="6" spans="1:9" x14ac:dyDescent="0.25">
      <c r="A6">
        <v>69</v>
      </c>
      <c r="B6">
        <v>83</v>
      </c>
      <c r="C6" t="str">
        <f t="shared" si="0"/>
        <v>PASS</v>
      </c>
      <c r="D6" t="str">
        <f t="shared" si="1"/>
        <v>PASS</v>
      </c>
      <c r="E6" t="str">
        <f t="shared" si="2"/>
        <v>Eligible</v>
      </c>
      <c r="F6" t="str">
        <f t="shared" si="3"/>
        <v>Eligible</v>
      </c>
      <c r="G6" t="str">
        <f t="shared" si="4"/>
        <v>NO</v>
      </c>
      <c r="H6" t="str">
        <f t="shared" si="5"/>
        <v>NO</v>
      </c>
      <c r="I6" t="str">
        <f t="shared" si="6"/>
        <v>GRADE C</v>
      </c>
    </row>
    <row r="7" spans="1:9" x14ac:dyDescent="0.25">
      <c r="A7">
        <v>89</v>
      </c>
      <c r="B7">
        <v>50</v>
      </c>
      <c r="C7" t="str">
        <f t="shared" si="0"/>
        <v>PASS</v>
      </c>
      <c r="D7" t="str">
        <f t="shared" si="1"/>
        <v>PASS</v>
      </c>
      <c r="E7" t="str">
        <f t="shared" si="2"/>
        <v>Eligible</v>
      </c>
      <c r="F7" t="str">
        <f t="shared" si="3"/>
        <v>Eligible</v>
      </c>
      <c r="G7" t="str">
        <f t="shared" si="4"/>
        <v>NO</v>
      </c>
      <c r="H7" t="str">
        <f t="shared" si="5"/>
        <v>NO</v>
      </c>
      <c r="I7" t="str">
        <f t="shared" si="6"/>
        <v>GRADE B</v>
      </c>
    </row>
    <row r="8" spans="1:9" x14ac:dyDescent="0.25">
      <c r="A8">
        <v>100</v>
      </c>
      <c r="B8">
        <v>83</v>
      </c>
      <c r="C8" t="str">
        <f t="shared" si="0"/>
        <v>PASS</v>
      </c>
      <c r="D8" t="str">
        <f t="shared" si="1"/>
        <v>PASS</v>
      </c>
      <c r="E8" t="str">
        <f t="shared" si="2"/>
        <v>Eligible</v>
      </c>
      <c r="F8" t="str">
        <f t="shared" si="3"/>
        <v>Eligible</v>
      </c>
      <c r="G8" t="str">
        <f t="shared" si="4"/>
        <v>NO</v>
      </c>
      <c r="H8" t="str">
        <f t="shared" si="5"/>
        <v>NO</v>
      </c>
      <c r="I8" t="str">
        <f t="shared" si="6"/>
        <v>GRADE A</v>
      </c>
    </row>
    <row r="9" spans="1:9" x14ac:dyDescent="0.25">
      <c r="A9">
        <v>44</v>
      </c>
      <c r="B9">
        <v>56</v>
      </c>
      <c r="C9" t="str">
        <f t="shared" si="0"/>
        <v>FAIL</v>
      </c>
      <c r="D9" t="str">
        <f t="shared" si="1"/>
        <v>PASS</v>
      </c>
      <c r="E9" t="str">
        <f t="shared" si="2"/>
        <v>Not Eligible</v>
      </c>
      <c r="F9" t="str">
        <f t="shared" si="3"/>
        <v>Eligible</v>
      </c>
      <c r="G9" t="str">
        <f t="shared" si="4"/>
        <v>YES</v>
      </c>
      <c r="H9" t="str">
        <f t="shared" si="5"/>
        <v>NO</v>
      </c>
      <c r="I9" t="str">
        <f t="shared" si="6"/>
        <v>GRADE F</v>
      </c>
    </row>
    <row r="10" spans="1:9" x14ac:dyDescent="0.25">
      <c r="A10">
        <v>98</v>
      </c>
      <c r="B10">
        <v>100</v>
      </c>
      <c r="C10" t="str">
        <f t="shared" si="0"/>
        <v>PASS</v>
      </c>
      <c r="D10" t="str">
        <f t="shared" si="1"/>
        <v>PASS</v>
      </c>
      <c r="E10" t="str">
        <f t="shared" si="2"/>
        <v>Eligible</v>
      </c>
      <c r="F10" t="str">
        <f t="shared" si="3"/>
        <v>Eligible</v>
      </c>
      <c r="G10" t="str">
        <f t="shared" si="4"/>
        <v>NO</v>
      </c>
      <c r="H10" t="str">
        <f t="shared" si="5"/>
        <v>NO</v>
      </c>
      <c r="I10" t="str">
        <f t="shared" si="6"/>
        <v>GRADE A</v>
      </c>
    </row>
    <row r="12" spans="1:9" x14ac:dyDescent="0.25">
      <c r="D12" t="s">
        <v>24</v>
      </c>
      <c r="E12" t="s">
        <v>25</v>
      </c>
    </row>
    <row r="13" spans="1:9" x14ac:dyDescent="0.25">
      <c r="D13" t="s">
        <v>26</v>
      </c>
      <c r="E13" t="s">
        <v>27</v>
      </c>
    </row>
    <row r="14" spans="1:9" x14ac:dyDescent="0.25">
      <c r="D14" t="s">
        <v>28</v>
      </c>
      <c r="E14" t="s">
        <v>30</v>
      </c>
    </row>
    <row r="15" spans="1:9" x14ac:dyDescent="0.25">
      <c r="E15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DC2B9-FEF1-4E08-807A-146CC7A96452}">
  <dimension ref="A1:J6"/>
  <sheetViews>
    <sheetView topLeftCell="B1" zoomScale="154" zoomScaleNormal="154" workbookViewId="0">
      <selection activeCell="E9" sqref="E9"/>
    </sheetView>
  </sheetViews>
  <sheetFormatPr defaultRowHeight="15" x14ac:dyDescent="0.25"/>
  <cols>
    <col min="4" max="4" width="10.85546875" customWidth="1"/>
    <col min="5" max="5" width="13" customWidth="1"/>
    <col min="6" max="6" width="13.42578125" bestFit="1" customWidth="1"/>
    <col min="7" max="7" width="12.7109375" bestFit="1" customWidth="1"/>
    <col min="9" max="9" width="14.85546875" bestFit="1" customWidth="1"/>
    <col min="10" max="10" width="19.140625" bestFit="1" customWidth="1"/>
  </cols>
  <sheetData>
    <row r="1" spans="1:10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</row>
    <row r="2" spans="1:10" x14ac:dyDescent="0.25">
      <c r="A2">
        <v>1</v>
      </c>
      <c r="B2" t="s">
        <v>37</v>
      </c>
      <c r="C2">
        <v>12000</v>
      </c>
      <c r="D2">
        <v>0.95</v>
      </c>
      <c r="E2" t="s">
        <v>42</v>
      </c>
      <c r="F2" t="str">
        <f>IF(C2&gt;=10000,"Meet Target","Missed Target")</f>
        <v>Meet Target</v>
      </c>
      <c r="G2" t="str">
        <f>IF(AND(C2&gt;=10000,E2="YES"),"ELIGIBLE","NOT ELIGIBLE")</f>
        <v>ELIGIBLE</v>
      </c>
      <c r="H2" t="str">
        <f>IF(OR(C2&lt;9000,D2&lt;0.9),"YES","NO")</f>
        <v>NO</v>
      </c>
      <c r="I2" t="str">
        <f>IF(NOT(E2="YES"),"Incomplete","completed")</f>
        <v>completed</v>
      </c>
      <c r="J2" t="str">
        <f>IF(C2&gt;=12000,"Elite",IF(C2&gt;=8000,"Standard","NeedsImprovement"))</f>
        <v>Elite</v>
      </c>
    </row>
    <row r="3" spans="1:10" x14ac:dyDescent="0.25">
      <c r="A3">
        <v>2</v>
      </c>
      <c r="B3" t="s">
        <v>38</v>
      </c>
      <c r="C3">
        <v>8000</v>
      </c>
      <c r="D3">
        <v>0.88</v>
      </c>
      <c r="E3" t="s">
        <v>43</v>
      </c>
      <c r="F3" t="str">
        <f t="shared" ref="F3:F6" si="0">IF(C3&gt;=10000,"Meet Target","Missed Target")</f>
        <v>Missed Target</v>
      </c>
      <c r="G3" t="str">
        <f t="shared" ref="G3:G6" si="1">IF(AND(C3&gt;=10000,E3="YES"),"ELIGIBLE","NOT ELIGIBLE")</f>
        <v>NOT ELIGIBLE</v>
      </c>
      <c r="H3" t="str">
        <f t="shared" ref="H3:H6" si="2">IF(OR(C3&lt;9000,D3&lt;0.9),"YES","NO")</f>
        <v>YES</v>
      </c>
      <c r="I3" t="str">
        <f t="shared" ref="I3:I6" si="3">IF(NOT(E3="YES"),"Incomplete","completed")</f>
        <v>Incomplete</v>
      </c>
      <c r="J3" t="str">
        <f t="shared" ref="J3:J6" si="4">IF(C3&gt;=12000,"Elite",IF(C3&gt;=8000,"Standard","NeedsImprovement"))</f>
        <v>Standard</v>
      </c>
    </row>
    <row r="4" spans="1:10" x14ac:dyDescent="0.25">
      <c r="A4">
        <v>3</v>
      </c>
      <c r="B4" t="s">
        <v>39</v>
      </c>
      <c r="C4">
        <v>15000</v>
      </c>
      <c r="D4">
        <v>0.75</v>
      </c>
      <c r="E4" t="s">
        <v>42</v>
      </c>
      <c r="F4" t="str">
        <f t="shared" si="0"/>
        <v>Meet Target</v>
      </c>
      <c r="G4" t="str">
        <f t="shared" si="1"/>
        <v>ELIGIBLE</v>
      </c>
      <c r="H4" t="str">
        <f t="shared" si="2"/>
        <v>YES</v>
      </c>
      <c r="I4" t="str">
        <f t="shared" si="3"/>
        <v>completed</v>
      </c>
      <c r="J4" t="str">
        <f t="shared" si="4"/>
        <v>Elite</v>
      </c>
    </row>
    <row r="5" spans="1:10" x14ac:dyDescent="0.25">
      <c r="A5">
        <v>4</v>
      </c>
      <c r="B5" t="s">
        <v>40</v>
      </c>
      <c r="C5">
        <v>5000</v>
      </c>
      <c r="D5">
        <v>0.92</v>
      </c>
      <c r="E5" t="s">
        <v>42</v>
      </c>
      <c r="F5" t="str">
        <f t="shared" si="0"/>
        <v>Missed Target</v>
      </c>
      <c r="G5" t="str">
        <f t="shared" si="1"/>
        <v>NOT ELIGIBLE</v>
      </c>
      <c r="H5" t="str">
        <f t="shared" si="2"/>
        <v>YES</v>
      </c>
      <c r="I5" t="str">
        <f t="shared" si="3"/>
        <v>completed</v>
      </c>
      <c r="J5" t="str">
        <f t="shared" si="4"/>
        <v>NeedsImprovement</v>
      </c>
    </row>
    <row r="6" spans="1:10" x14ac:dyDescent="0.25">
      <c r="A6">
        <v>5</v>
      </c>
      <c r="B6" t="s">
        <v>41</v>
      </c>
      <c r="C6">
        <v>9500</v>
      </c>
      <c r="D6">
        <v>0.91</v>
      </c>
      <c r="E6" t="s">
        <v>43</v>
      </c>
      <c r="F6" t="str">
        <f t="shared" si="0"/>
        <v>Missed Target</v>
      </c>
      <c r="G6" t="str">
        <f t="shared" si="1"/>
        <v>NOT ELIGIBLE</v>
      </c>
      <c r="H6" t="str">
        <f t="shared" si="2"/>
        <v>NO</v>
      </c>
      <c r="I6" t="str">
        <f t="shared" si="3"/>
        <v>Incomplete</v>
      </c>
      <c r="J6" t="str">
        <f t="shared" si="4"/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DDA63-8875-4CE2-8B00-27E735120FBE}">
  <dimension ref="A1:E10"/>
  <sheetViews>
    <sheetView zoomScale="166" zoomScaleNormal="166" workbookViewId="0">
      <selection activeCell="C1" sqref="C1"/>
    </sheetView>
  </sheetViews>
  <sheetFormatPr defaultRowHeight="15" x14ac:dyDescent="0.25"/>
  <cols>
    <col min="3" max="3" width="13.140625" bestFit="1" customWidth="1"/>
    <col min="5" max="5" width="10.140625" bestFit="1" customWidth="1"/>
  </cols>
  <sheetData>
    <row r="1" spans="1:5" x14ac:dyDescent="0.25">
      <c r="A1" t="s">
        <v>49</v>
      </c>
      <c r="B1" t="s">
        <v>50</v>
      </c>
    </row>
    <row r="2" spans="1:5" x14ac:dyDescent="0.25">
      <c r="A2">
        <v>80240</v>
      </c>
      <c r="B2">
        <v>15478</v>
      </c>
      <c r="D2">
        <f>B2*1</f>
        <v>15478</v>
      </c>
    </row>
    <row r="5" spans="1:5" x14ac:dyDescent="0.25">
      <c r="D5">
        <f>A2/10</f>
        <v>8024</v>
      </c>
    </row>
    <row r="7" spans="1:5" x14ac:dyDescent="0.25">
      <c r="C7">
        <f>B2/5</f>
        <v>3095.6</v>
      </c>
    </row>
    <row r="8" spans="1:5" x14ac:dyDescent="0.25">
      <c r="A8">
        <f>A2*1.5</f>
        <v>120360</v>
      </c>
    </row>
    <row r="9" spans="1:5" x14ac:dyDescent="0.25">
      <c r="C9" t="s">
        <v>51</v>
      </c>
      <c r="D9" t="s">
        <v>52</v>
      </c>
    </row>
    <row r="10" spans="1:5" x14ac:dyDescent="0.25">
      <c r="C10">
        <f>A2*B2</f>
        <v>1241954720</v>
      </c>
      <c r="D10">
        <v>0.1</v>
      </c>
      <c r="E10">
        <f>C10*D10</f>
        <v>124195472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E7523-7739-41F5-BB0D-661B51186627}">
  <dimension ref="A1:F10"/>
  <sheetViews>
    <sheetView topLeftCell="A4" zoomScale="190" zoomScaleNormal="190" workbookViewId="0">
      <selection activeCell="E6" sqref="E6"/>
    </sheetView>
  </sheetViews>
  <sheetFormatPr defaultRowHeight="15" x14ac:dyDescent="0.25"/>
  <cols>
    <col min="4" max="4" width="11.5703125" bestFit="1" customWidth="1"/>
  </cols>
  <sheetData>
    <row r="1" spans="1:6" x14ac:dyDescent="0.25">
      <c r="A1" t="s">
        <v>53</v>
      </c>
      <c r="B1">
        <v>2025</v>
      </c>
      <c r="C1">
        <v>2026</v>
      </c>
      <c r="D1" t="s">
        <v>55</v>
      </c>
    </row>
    <row r="2" spans="1:6" x14ac:dyDescent="0.25">
      <c r="A2" t="s">
        <v>0</v>
      </c>
      <c r="B2">
        <v>36</v>
      </c>
      <c r="C2">
        <v>64</v>
      </c>
      <c r="D2">
        <v>1</v>
      </c>
    </row>
    <row r="3" spans="1:6" x14ac:dyDescent="0.25">
      <c r="A3" t="s">
        <v>1</v>
      </c>
      <c r="B3">
        <v>41</v>
      </c>
      <c r="C3">
        <v>61</v>
      </c>
      <c r="D3">
        <v>35</v>
      </c>
    </row>
    <row r="4" spans="1:6" x14ac:dyDescent="0.25">
      <c r="A4" t="s">
        <v>54</v>
      </c>
      <c r="B4">
        <v>77</v>
      </c>
      <c r="C4">
        <v>95</v>
      </c>
      <c r="D4">
        <v>2</v>
      </c>
    </row>
    <row r="5" spans="1:6" x14ac:dyDescent="0.25">
      <c r="A5" t="s">
        <v>0</v>
      </c>
      <c r="B5">
        <v>83</v>
      </c>
      <c r="C5">
        <v>89</v>
      </c>
      <c r="D5">
        <v>14</v>
      </c>
      <c r="F5">
        <f>AVERAGE(New_ranage)</f>
        <v>76.111111111111114</v>
      </c>
    </row>
    <row r="6" spans="1:6" x14ac:dyDescent="0.25">
      <c r="A6" t="s">
        <v>1</v>
      </c>
      <c r="B6">
        <v>69</v>
      </c>
      <c r="C6">
        <v>83</v>
      </c>
      <c r="D6">
        <v>5</v>
      </c>
      <c r="F6">
        <f>AVERAGE(Sales_2025)</f>
        <v>70.777777777777771</v>
      </c>
    </row>
    <row r="7" spans="1:6" x14ac:dyDescent="0.25">
      <c r="A7" t="s">
        <v>54</v>
      </c>
      <c r="B7">
        <v>89</v>
      </c>
      <c r="C7">
        <v>50</v>
      </c>
      <c r="D7">
        <v>558</v>
      </c>
    </row>
    <row r="8" spans="1:6" x14ac:dyDescent="0.25">
      <c r="A8" t="s">
        <v>0</v>
      </c>
      <c r="B8">
        <v>100</v>
      </c>
      <c r="C8">
        <v>83</v>
      </c>
      <c r="D8">
        <v>4</v>
      </c>
    </row>
    <row r="9" spans="1:6" x14ac:dyDescent="0.25">
      <c r="A9" t="s">
        <v>1</v>
      </c>
      <c r="B9">
        <v>44</v>
      </c>
      <c r="C9">
        <v>56</v>
      </c>
      <c r="D9">
        <v>9</v>
      </c>
    </row>
    <row r="10" spans="1:6" x14ac:dyDescent="0.25">
      <c r="A10" t="s">
        <v>54</v>
      </c>
      <c r="B10">
        <v>98</v>
      </c>
      <c r="C10">
        <v>100</v>
      </c>
      <c r="D10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FE785-0E83-4EA2-9646-73D9C1FFE05E}">
  <dimension ref="A1:E21"/>
  <sheetViews>
    <sheetView topLeftCell="A13" zoomScale="196" zoomScaleNormal="196" workbookViewId="0">
      <selection activeCell="E19" sqref="E19"/>
    </sheetView>
  </sheetViews>
  <sheetFormatPr defaultRowHeight="15" x14ac:dyDescent="0.25"/>
  <cols>
    <col min="1" max="1" width="27.42578125" bestFit="1" customWidth="1"/>
    <col min="4" max="4" width="15.7109375" bestFit="1" customWidth="1"/>
    <col min="5" max="5" width="29" bestFit="1" customWidth="1"/>
  </cols>
  <sheetData>
    <row r="1" spans="1:5" x14ac:dyDescent="0.25">
      <c r="A1" t="s">
        <v>56</v>
      </c>
      <c r="C1" t="s">
        <v>57</v>
      </c>
      <c r="D1" t="s">
        <v>58</v>
      </c>
      <c r="E1" t="s">
        <v>59</v>
      </c>
    </row>
    <row r="2" spans="1:5" x14ac:dyDescent="0.25">
      <c r="C2">
        <f>LEN(A1)</f>
        <v>38</v>
      </c>
      <c r="D2" t="str">
        <f>TRIM(A1)</f>
        <v>mdukHSIDJAjudj</v>
      </c>
      <c r="E2" t="str">
        <f>UPPER(A1)</f>
        <v xml:space="preserve">           MDUKHSIDJAJUDJ             </v>
      </c>
    </row>
    <row r="4" spans="1:5" x14ac:dyDescent="0.25">
      <c r="C4" t="s">
        <v>60</v>
      </c>
      <c r="E4" t="s">
        <v>61</v>
      </c>
    </row>
    <row r="5" spans="1:5" x14ac:dyDescent="0.25">
      <c r="C5" t="str">
        <f>LOWER(A1)</f>
        <v xml:space="preserve">           mdukhsidjajudj             </v>
      </c>
      <c r="E5" t="str">
        <f>PROPER(A1)</f>
        <v xml:space="preserve">           Mdukhsidjajudj             </v>
      </c>
    </row>
    <row r="7" spans="1:5" x14ac:dyDescent="0.25">
      <c r="C7" t="s">
        <v>67</v>
      </c>
    </row>
    <row r="8" spans="1:5" x14ac:dyDescent="0.25">
      <c r="B8" t="s">
        <v>62</v>
      </c>
    </row>
    <row r="9" spans="1:5" x14ac:dyDescent="0.25">
      <c r="B9" t="s">
        <v>63</v>
      </c>
    </row>
    <row r="10" spans="1:5" x14ac:dyDescent="0.25">
      <c r="B10" t="s">
        <v>64</v>
      </c>
    </row>
    <row r="11" spans="1:5" x14ac:dyDescent="0.25">
      <c r="B11" t="s">
        <v>65</v>
      </c>
    </row>
    <row r="12" spans="1:5" x14ac:dyDescent="0.25">
      <c r="B12" t="s">
        <v>66</v>
      </c>
    </row>
    <row r="14" spans="1:5" x14ac:dyDescent="0.25">
      <c r="A14" t="s">
        <v>68</v>
      </c>
      <c r="B14" t="s">
        <v>69</v>
      </c>
      <c r="C14" t="s">
        <v>70</v>
      </c>
      <c r="D14" t="s">
        <v>71</v>
      </c>
    </row>
    <row r="15" spans="1:5" x14ac:dyDescent="0.25">
      <c r="A15" t="s">
        <v>77</v>
      </c>
      <c r="B15" t="str">
        <f>LEFT(A14,5)</f>
        <v>HELLO</v>
      </c>
      <c r="C15" t="str">
        <f>RIGHT(A14,5)</f>
        <v>WORLD</v>
      </c>
      <c r="D15" t="str">
        <f>MID(A14,6,6)</f>
        <v xml:space="preserve"> WORLD</v>
      </c>
    </row>
    <row r="17" spans="2:5" x14ac:dyDescent="0.25">
      <c r="B17" t="s">
        <v>72</v>
      </c>
      <c r="C17" t="s">
        <v>73</v>
      </c>
      <c r="D17" t="s">
        <v>74</v>
      </c>
      <c r="E17" t="s">
        <v>75</v>
      </c>
    </row>
    <row r="18" spans="2:5" x14ac:dyDescent="0.25">
      <c r="B18">
        <f>FIND("W",A14)</f>
        <v>7</v>
      </c>
      <c r="C18">
        <f>SEARCH("L",A14)</f>
        <v>3</v>
      </c>
      <c r="D18" t="str">
        <f>REPLACE(A14,7,5,"EXCEL")</f>
        <v>HELLO EXCEL</v>
      </c>
      <c r="E18" t="str">
        <f>SUBSTITUTE(A14,"HELLO","HI")</f>
        <v>HI WORLD</v>
      </c>
    </row>
    <row r="20" spans="2:5" x14ac:dyDescent="0.25">
      <c r="B20" t="s">
        <v>76</v>
      </c>
    </row>
    <row r="21" spans="2:5" x14ac:dyDescent="0.25">
      <c r="B21" t="str">
        <f>CONCATENATE(A14,"WELCOME",A15)</f>
        <v>HELLO WORLDWELCOMEHELLO INDIA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E05B0-96F9-4DF1-AA54-A61133DE7C9C}">
  <dimension ref="A1:G15"/>
  <sheetViews>
    <sheetView topLeftCell="A7" zoomScale="166" zoomScaleNormal="166" workbookViewId="0"/>
  </sheetViews>
  <sheetFormatPr defaultRowHeight="15" x14ac:dyDescent="0.25"/>
  <cols>
    <col min="1" max="1" width="10.85546875" bestFit="1" customWidth="1"/>
    <col min="2" max="2" width="15.5703125" bestFit="1" customWidth="1"/>
    <col min="3" max="3" width="10.42578125" bestFit="1" customWidth="1"/>
  </cols>
  <sheetData>
    <row r="1" spans="1:7" x14ac:dyDescent="0.25">
      <c r="A1" s="5" t="s">
        <v>78</v>
      </c>
      <c r="B1" s="6">
        <f ca="1">TODAY()</f>
        <v>46325</v>
      </c>
      <c r="C1" s="5"/>
    </row>
    <row r="2" spans="1:7" x14ac:dyDescent="0.25">
      <c r="A2" s="5" t="s">
        <v>79</v>
      </c>
      <c r="B2" s="7">
        <f ca="1">NOW()</f>
        <v>46325.513034143522</v>
      </c>
      <c r="C2" s="5"/>
    </row>
    <row r="3" spans="1:7" x14ac:dyDescent="0.25">
      <c r="A3" s="5" t="s">
        <v>80</v>
      </c>
      <c r="B3" s="5">
        <f ca="1">YEAR(B1)</f>
        <v>2026</v>
      </c>
      <c r="C3" s="5"/>
    </row>
    <row r="4" spans="1:7" x14ac:dyDescent="0.25">
      <c r="A4" s="5" t="s">
        <v>81</v>
      </c>
      <c r="B4" s="5">
        <f ca="1">DAY(B1)</f>
        <v>30</v>
      </c>
      <c r="C4" s="5"/>
    </row>
    <row r="5" spans="1:7" x14ac:dyDescent="0.25">
      <c r="A5" s="5" t="s">
        <v>82</v>
      </c>
      <c r="B5" s="5">
        <f ca="1">MONTH(B1)</f>
        <v>10</v>
      </c>
      <c r="C5" s="5"/>
      <c r="E5" s="8"/>
    </row>
    <row r="6" spans="1:7" x14ac:dyDescent="0.25">
      <c r="A6" s="5" t="s">
        <v>83</v>
      </c>
      <c r="B6" s="5">
        <f ca="1">WEEKDAY(B1,11)</f>
        <v>5</v>
      </c>
      <c r="C6" s="5"/>
    </row>
    <row r="7" spans="1:7" x14ac:dyDescent="0.25">
      <c r="A7" s="5" t="s">
        <v>84</v>
      </c>
      <c r="B7" s="5">
        <f ca="1">WEEKNUM(TODAY())</f>
        <v>44</v>
      </c>
      <c r="C7" s="5"/>
    </row>
    <row r="8" spans="1:7" x14ac:dyDescent="0.25">
      <c r="A8" s="5" t="s">
        <v>85</v>
      </c>
      <c r="B8" s="5" t="str">
        <f ca="1">TEXT(TODAY(),"MMMM")</f>
        <v>October</v>
      </c>
      <c r="C8" s="5" t="s">
        <v>86</v>
      </c>
    </row>
    <row r="9" spans="1:7" x14ac:dyDescent="0.25">
      <c r="A9" s="5"/>
      <c r="B9" s="5" t="str">
        <f ca="1">TEXT(TODAY(),"DDDD")</f>
        <v>Friday</v>
      </c>
      <c r="C9" s="5" t="s">
        <v>87</v>
      </c>
    </row>
    <row r="11" spans="1:7" x14ac:dyDescent="0.25">
      <c r="B11" s="3">
        <v>44937</v>
      </c>
      <c r="C11" s="3">
        <f ca="1">TODAY()</f>
        <v>46325</v>
      </c>
      <c r="D11" s="4"/>
      <c r="E11" s="4">
        <f ca="1">DATEDIF(B11,C11,"Y")</f>
        <v>3</v>
      </c>
      <c r="F11" s="4" t="s">
        <v>88</v>
      </c>
      <c r="G11" s="4"/>
    </row>
    <row r="12" spans="1:7" x14ac:dyDescent="0.25">
      <c r="B12" s="4"/>
      <c r="C12" s="4"/>
      <c r="D12" s="4"/>
      <c r="E12" s="4">
        <f ca="1">DATEDIF(B11,C11,"M")</f>
        <v>45</v>
      </c>
      <c r="F12" s="4" t="s">
        <v>89</v>
      </c>
      <c r="G12" s="4"/>
    </row>
    <row r="13" spans="1:7" x14ac:dyDescent="0.25">
      <c r="B13" s="4"/>
      <c r="C13" s="4"/>
      <c r="D13" s="4"/>
      <c r="E13" s="4">
        <f ca="1">DATEDIF(B11,C11,"D")</f>
        <v>1388</v>
      </c>
      <c r="F13" s="4" t="s">
        <v>90</v>
      </c>
      <c r="G13" s="4"/>
    </row>
    <row r="15" spans="1:7" x14ac:dyDescent="0.25">
      <c r="A15" t="s">
        <v>91</v>
      </c>
      <c r="B15" s="2">
        <f ca="1">EDATE(B1,6)</f>
        <v>46507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5317-195A-4799-88EE-023C3700A4F4}">
  <dimension ref="A1:F13"/>
  <sheetViews>
    <sheetView zoomScale="214" zoomScaleNormal="214" workbookViewId="0">
      <selection activeCell="D10" sqref="D10"/>
    </sheetView>
  </sheetViews>
  <sheetFormatPr defaultRowHeight="15" x14ac:dyDescent="0.25"/>
  <cols>
    <col min="2" max="2" width="14" bestFit="1" customWidth="1"/>
    <col min="3" max="3" width="19" bestFit="1" customWidth="1"/>
    <col min="4" max="4" width="10.5703125" bestFit="1" customWidth="1"/>
    <col min="6" max="6" width="23.5703125" bestFit="1" customWidth="1"/>
  </cols>
  <sheetData>
    <row r="1" spans="1:6" x14ac:dyDescent="0.25">
      <c r="A1" t="s">
        <v>92</v>
      </c>
      <c r="B1" t="s">
        <v>93</v>
      </c>
      <c r="C1" t="s">
        <v>94</v>
      </c>
      <c r="D1" t="s">
        <v>95</v>
      </c>
      <c r="E1" t="s">
        <v>106</v>
      </c>
      <c r="F1" t="s">
        <v>96</v>
      </c>
    </row>
    <row r="2" spans="1:6" x14ac:dyDescent="0.25">
      <c r="A2" s="9">
        <v>1</v>
      </c>
      <c r="B2" t="s">
        <v>99</v>
      </c>
      <c r="C2" t="s">
        <v>100</v>
      </c>
      <c r="D2" t="s">
        <v>103</v>
      </c>
      <c r="E2" t="s">
        <v>107</v>
      </c>
      <c r="F2" s="10" t="s">
        <v>110</v>
      </c>
    </row>
    <row r="3" spans="1:6" x14ac:dyDescent="0.25">
      <c r="A3" s="9">
        <v>2</v>
      </c>
      <c r="B3" t="s">
        <v>97</v>
      </c>
      <c r="C3" t="s">
        <v>101</v>
      </c>
      <c r="D3" t="s">
        <v>104</v>
      </c>
      <c r="E3" t="s">
        <v>108</v>
      </c>
      <c r="F3" s="10" t="s">
        <v>111</v>
      </c>
    </row>
    <row r="4" spans="1:6" x14ac:dyDescent="0.25">
      <c r="A4" s="9">
        <v>3</v>
      </c>
      <c r="B4" t="s">
        <v>98</v>
      </c>
      <c r="C4" t="s">
        <v>102</v>
      </c>
      <c r="D4" t="s">
        <v>105</v>
      </c>
      <c r="E4" t="s">
        <v>109</v>
      </c>
      <c r="F4" s="10" t="s">
        <v>112</v>
      </c>
    </row>
    <row r="6" spans="1:6" x14ac:dyDescent="0.25">
      <c r="B6">
        <v>1</v>
      </c>
      <c r="C6" t="s">
        <v>113</v>
      </c>
      <c r="E6" t="s">
        <v>113</v>
      </c>
    </row>
    <row r="7" spans="1:6" x14ac:dyDescent="0.25">
      <c r="B7">
        <v>2</v>
      </c>
      <c r="C7" t="s">
        <v>114</v>
      </c>
      <c r="E7" t="s">
        <v>114</v>
      </c>
    </row>
    <row r="8" spans="1:6" x14ac:dyDescent="0.25">
      <c r="B8">
        <v>3</v>
      </c>
      <c r="C8" t="s">
        <v>115</v>
      </c>
      <c r="E8" t="s">
        <v>115</v>
      </c>
    </row>
    <row r="9" spans="1:6" x14ac:dyDescent="0.25">
      <c r="B9">
        <v>4</v>
      </c>
      <c r="C9" t="s">
        <v>116</v>
      </c>
      <c r="E9" t="s">
        <v>116</v>
      </c>
    </row>
    <row r="10" spans="1:6" x14ac:dyDescent="0.25">
      <c r="E10" t="s">
        <v>113</v>
      </c>
    </row>
    <row r="11" spans="1:6" x14ac:dyDescent="0.25">
      <c r="E11" t="s">
        <v>114</v>
      </c>
    </row>
    <row r="12" spans="1:6" x14ac:dyDescent="0.25">
      <c r="E12" t="s">
        <v>115</v>
      </c>
    </row>
    <row r="13" spans="1:6" x14ac:dyDescent="0.25">
      <c r="E13" t="s">
        <v>116</v>
      </c>
    </row>
  </sheetData>
  <phoneticPr fontId="4" type="noConversion"/>
  <hyperlinks>
    <hyperlink ref="F2" r:id="rId1" xr:uid="{F1F95434-9531-483A-AB62-5B02651A045E}"/>
    <hyperlink ref="F3" r:id="rId2" xr:uid="{C71E47DC-F72B-4BE4-96E2-5890131A1005}"/>
    <hyperlink ref="F4" r:id="rId3" xr:uid="{483109F2-22F2-46D3-9EF7-282830E45CC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12DB4-ECF0-47AD-9D46-3FFDEC5DF6B2}">
  <dimension ref="A1:K18"/>
  <sheetViews>
    <sheetView topLeftCell="A4" zoomScale="142" zoomScaleNormal="142" workbookViewId="0">
      <selection activeCell="F16" sqref="F16"/>
    </sheetView>
  </sheetViews>
  <sheetFormatPr defaultRowHeight="15" x14ac:dyDescent="0.25"/>
  <cols>
    <col min="10" max="10" width="15" bestFit="1" customWidth="1"/>
  </cols>
  <sheetData>
    <row r="1" spans="1:10" x14ac:dyDescent="0.25">
      <c r="A1" s="11" t="s">
        <v>0</v>
      </c>
      <c r="I1" t="s">
        <v>126</v>
      </c>
      <c r="J1" t="s">
        <v>127</v>
      </c>
    </row>
    <row r="2" spans="1:10" x14ac:dyDescent="0.25">
      <c r="A2">
        <v>31</v>
      </c>
      <c r="D2" t="s">
        <v>118</v>
      </c>
      <c r="E2" t="s">
        <v>119</v>
      </c>
      <c r="I2">
        <f>A2-D4</f>
        <v>-20.714285714285715</v>
      </c>
      <c r="J2">
        <f>I2^2</f>
        <v>429.08163265306126</v>
      </c>
    </row>
    <row r="3" spans="1:10" x14ac:dyDescent="0.25">
      <c r="A3">
        <v>33</v>
      </c>
      <c r="F3" t="s">
        <v>122</v>
      </c>
      <c r="G3" t="s">
        <v>123</v>
      </c>
      <c r="I3">
        <f>A3-D4</f>
        <v>-18.714285714285715</v>
      </c>
      <c r="J3">
        <f t="shared" ref="J3:J15" si="0">I3^2</f>
        <v>350.22448979591843</v>
      </c>
    </row>
    <row r="4" spans="1:10" x14ac:dyDescent="0.25">
      <c r="A4">
        <v>37</v>
      </c>
      <c r="C4" t="s">
        <v>120</v>
      </c>
      <c r="D4">
        <f>AVERAGE(A2:A15)</f>
        <v>51.714285714285715</v>
      </c>
      <c r="E4">
        <f>F4/G4</f>
        <v>51.714285714285715</v>
      </c>
      <c r="F4">
        <f>SUM(A2:A15)</f>
        <v>724</v>
      </c>
      <c r="G4">
        <v>14</v>
      </c>
      <c r="I4">
        <f>A4-D4</f>
        <v>-14.714285714285715</v>
      </c>
      <c r="J4">
        <f t="shared" si="0"/>
        <v>216.51020408163268</v>
      </c>
    </row>
    <row r="5" spans="1:10" x14ac:dyDescent="0.25">
      <c r="A5">
        <v>37</v>
      </c>
      <c r="I5">
        <f>A5-E4</f>
        <v>-14.714285714285715</v>
      </c>
      <c r="J5">
        <f t="shared" si="0"/>
        <v>216.51020408163268</v>
      </c>
    </row>
    <row r="6" spans="1:10" x14ac:dyDescent="0.25">
      <c r="A6">
        <v>43</v>
      </c>
      <c r="E6" t="s">
        <v>121</v>
      </c>
      <c r="I6">
        <f>A6-D4</f>
        <v>-8.7142857142857153</v>
      </c>
      <c r="J6">
        <f t="shared" si="0"/>
        <v>75.938775510204096</v>
      </c>
    </row>
    <row r="7" spans="1:10" x14ac:dyDescent="0.25">
      <c r="A7">
        <v>43</v>
      </c>
      <c r="C7" t="s">
        <v>117</v>
      </c>
      <c r="D7">
        <f>MEDIAN(A2:A15)</f>
        <v>45.5</v>
      </c>
      <c r="E7">
        <f>(14+1)/2</f>
        <v>7.5</v>
      </c>
      <c r="I7">
        <f>A7-D4</f>
        <v>-8.7142857142857153</v>
      </c>
      <c r="J7">
        <f t="shared" si="0"/>
        <v>75.938775510204096</v>
      </c>
    </row>
    <row r="8" spans="1:10" x14ac:dyDescent="0.25">
      <c r="A8">
        <v>45</v>
      </c>
      <c r="I8">
        <f>A8-D4</f>
        <v>-6.7142857142857153</v>
      </c>
      <c r="J8">
        <f t="shared" si="0"/>
        <v>45.081632653061241</v>
      </c>
    </row>
    <row r="9" spans="1:10" x14ac:dyDescent="0.25">
      <c r="A9">
        <v>46</v>
      </c>
      <c r="C9" t="s">
        <v>124</v>
      </c>
      <c r="D9">
        <f>_xlfn.MODE.SNGL(A2:A15)</f>
        <v>37</v>
      </c>
      <c r="I9">
        <f>A9-E4</f>
        <v>-5.7142857142857153</v>
      </c>
      <c r="J9">
        <f t="shared" si="0"/>
        <v>32.653061224489811</v>
      </c>
    </row>
    <row r="10" spans="1:10" x14ac:dyDescent="0.25">
      <c r="A10">
        <v>52</v>
      </c>
      <c r="D10">
        <f t="array" ref="D10:D13">_xlfn.MODE.MULT(A4:A15)</f>
        <v>37</v>
      </c>
      <c r="I10">
        <f>A10-E4</f>
        <v>0.2857142857142847</v>
      </c>
      <c r="J10">
        <f t="shared" si="0"/>
        <v>8.1632653061223914E-2</v>
      </c>
    </row>
    <row r="11" spans="1:10" x14ac:dyDescent="0.25">
      <c r="A11">
        <v>52</v>
      </c>
      <c r="D11">
        <v>43</v>
      </c>
      <c r="I11">
        <f>A11-E4</f>
        <v>0.2857142857142847</v>
      </c>
      <c r="J11">
        <f t="shared" si="0"/>
        <v>8.1632653061223914E-2</v>
      </c>
    </row>
    <row r="12" spans="1:10" x14ac:dyDescent="0.25">
      <c r="A12">
        <v>62</v>
      </c>
      <c r="D12">
        <v>52</v>
      </c>
      <c r="I12">
        <f>A12-D4</f>
        <v>10.285714285714285</v>
      </c>
      <c r="J12">
        <f t="shared" si="0"/>
        <v>105.79591836734691</v>
      </c>
    </row>
    <row r="13" spans="1:10" x14ac:dyDescent="0.25">
      <c r="A13">
        <v>70</v>
      </c>
      <c r="D13" t="e">
        <v>#N/A</v>
      </c>
      <c r="I13">
        <f>A13-E4</f>
        <v>18.285714285714285</v>
      </c>
      <c r="J13">
        <f t="shared" si="0"/>
        <v>334.36734693877548</v>
      </c>
    </row>
    <row r="14" spans="1:10" x14ac:dyDescent="0.25">
      <c r="A14">
        <v>81</v>
      </c>
      <c r="C14" t="s">
        <v>125</v>
      </c>
      <c r="D14">
        <f>AVERAGE(J2:J15)</f>
        <v>311.63265306122452</v>
      </c>
      <c r="E14" t="s">
        <v>131</v>
      </c>
      <c r="I14">
        <f>A14-E4</f>
        <v>29.285714285714285</v>
      </c>
      <c r="J14">
        <f t="shared" si="0"/>
        <v>857.65306122448976</v>
      </c>
    </row>
    <row r="15" spans="1:10" x14ac:dyDescent="0.25">
      <c r="A15">
        <v>92</v>
      </c>
      <c r="I15">
        <f>A15-E4</f>
        <v>40.285714285714285</v>
      </c>
      <c r="J15">
        <f t="shared" si="0"/>
        <v>1622.9387755102041</v>
      </c>
    </row>
    <row r="16" spans="1:10" x14ac:dyDescent="0.25">
      <c r="C16" t="s">
        <v>128</v>
      </c>
      <c r="E16">
        <f>_xlfn.STDEV.P(A2:A15)</f>
        <v>17.653120207522083</v>
      </c>
      <c r="F16" t="s">
        <v>132</v>
      </c>
    </row>
    <row r="17" spans="10:11" x14ac:dyDescent="0.25">
      <c r="J17" t="s">
        <v>129</v>
      </c>
      <c r="K17" t="s">
        <v>130</v>
      </c>
    </row>
    <row r="18" spans="10:11" x14ac:dyDescent="0.25">
      <c r="J18">
        <f>_xlfn.VAR.P(A2:A15)</f>
        <v>311.63265306122452</v>
      </c>
      <c r="K18">
        <f>SQRT(J18)</f>
        <v>17.653120207522083</v>
      </c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C511-5875-4BF4-ABB5-8CE6A36DE6EB}">
  <dimension ref="A1:G9"/>
  <sheetViews>
    <sheetView tabSelected="1" zoomScale="178" zoomScaleNormal="178" workbookViewId="0">
      <selection activeCell="K6" sqref="K6"/>
    </sheetView>
  </sheetViews>
  <sheetFormatPr defaultRowHeight="15" x14ac:dyDescent="0.25"/>
  <sheetData>
    <row r="1" spans="1:7" ht="15.75" thickBot="1" x14ac:dyDescent="0.3">
      <c r="A1" s="12" t="s">
        <v>4</v>
      </c>
      <c r="B1" s="12" t="s">
        <v>141</v>
      </c>
      <c r="C1" s="12" t="s">
        <v>142</v>
      </c>
      <c r="D1" s="12" t="s">
        <v>143</v>
      </c>
      <c r="E1" s="12" t="s">
        <v>144</v>
      </c>
      <c r="F1" s="12" t="s">
        <v>145</v>
      </c>
      <c r="G1" s="12" t="s">
        <v>146</v>
      </c>
    </row>
    <row r="2" spans="1:7" ht="15.75" thickBot="1" x14ac:dyDescent="0.3">
      <c r="A2" s="13" t="s">
        <v>133</v>
      </c>
      <c r="B2" s="13">
        <v>7996</v>
      </c>
      <c r="C2" s="13">
        <v>7670</v>
      </c>
      <c r="D2" s="13">
        <v>5958</v>
      </c>
      <c r="E2" s="13">
        <v>8668</v>
      </c>
      <c r="F2" s="13">
        <v>5793</v>
      </c>
      <c r="G2" s="13">
        <v>9007</v>
      </c>
    </row>
    <row r="3" spans="1:7" ht="15.75" thickBot="1" x14ac:dyDescent="0.3">
      <c r="A3" s="13" t="s">
        <v>134</v>
      </c>
      <c r="B3" s="13">
        <v>7733</v>
      </c>
      <c r="C3" s="13">
        <v>8542</v>
      </c>
      <c r="D3" s="13">
        <v>6595</v>
      </c>
      <c r="E3" s="13">
        <v>9923</v>
      </c>
      <c r="F3" s="13">
        <v>7904</v>
      </c>
      <c r="G3" s="13">
        <v>8684</v>
      </c>
    </row>
    <row r="4" spans="1:7" ht="15.75" thickBot="1" x14ac:dyDescent="0.3">
      <c r="A4" s="13" t="s">
        <v>135</v>
      </c>
      <c r="B4" s="13">
        <v>6243</v>
      </c>
      <c r="C4" s="13">
        <v>5742</v>
      </c>
      <c r="D4" s="13">
        <v>8364</v>
      </c>
      <c r="E4" s="13">
        <v>7023</v>
      </c>
      <c r="F4" s="13">
        <v>8859</v>
      </c>
      <c r="G4" s="13">
        <v>8864</v>
      </c>
    </row>
    <row r="5" spans="1:7" ht="15.75" thickBot="1" x14ac:dyDescent="0.3">
      <c r="A5" s="13" t="s">
        <v>136</v>
      </c>
      <c r="B5" s="13">
        <v>8178</v>
      </c>
      <c r="C5" s="13">
        <v>9617</v>
      </c>
      <c r="D5" s="13">
        <v>7184</v>
      </c>
      <c r="E5" s="13">
        <v>5908</v>
      </c>
      <c r="F5" s="13">
        <v>6767</v>
      </c>
      <c r="G5" s="13">
        <v>5127</v>
      </c>
    </row>
    <row r="6" spans="1:7" ht="15.75" thickBot="1" x14ac:dyDescent="0.3">
      <c r="A6" s="13" t="s">
        <v>137</v>
      </c>
      <c r="B6" s="13">
        <v>7365</v>
      </c>
      <c r="C6" s="13">
        <v>6437</v>
      </c>
      <c r="D6" s="13">
        <v>6269</v>
      </c>
      <c r="E6" s="13">
        <v>9146</v>
      </c>
      <c r="F6" s="13">
        <v>9754</v>
      </c>
      <c r="G6" s="13">
        <v>7967</v>
      </c>
    </row>
    <row r="7" spans="1:7" ht="15.75" thickBot="1" x14ac:dyDescent="0.3">
      <c r="A7" s="13" t="s">
        <v>138</v>
      </c>
      <c r="B7" s="13">
        <v>6200</v>
      </c>
      <c r="C7" s="13">
        <v>7679</v>
      </c>
      <c r="D7" s="13">
        <v>7432</v>
      </c>
      <c r="E7" s="13">
        <v>9952</v>
      </c>
      <c r="F7" s="13">
        <v>5549</v>
      </c>
      <c r="G7" s="13">
        <v>9450</v>
      </c>
    </row>
    <row r="8" spans="1:7" ht="15.75" thickBot="1" x14ac:dyDescent="0.3">
      <c r="A8" s="13" t="s">
        <v>139</v>
      </c>
      <c r="B8" s="13">
        <v>9642</v>
      </c>
      <c r="C8" s="13">
        <v>6213</v>
      </c>
      <c r="D8" s="13">
        <v>5456</v>
      </c>
      <c r="E8" s="13">
        <v>7775</v>
      </c>
      <c r="F8" s="13">
        <v>7670</v>
      </c>
      <c r="G8" s="13">
        <v>8877</v>
      </c>
    </row>
    <row r="9" spans="1:7" ht="15.75" thickBot="1" x14ac:dyDescent="0.3">
      <c r="A9" s="13" t="s">
        <v>140</v>
      </c>
      <c r="B9" s="13">
        <v>9627</v>
      </c>
      <c r="C9" s="13">
        <v>6309</v>
      </c>
      <c r="D9" s="13">
        <v>5145</v>
      </c>
      <c r="E9" s="13">
        <v>7611</v>
      </c>
      <c r="F9" s="13">
        <v>6199</v>
      </c>
      <c r="G9" s="13">
        <v>7813</v>
      </c>
    </row>
  </sheetData>
  <phoneticPr fontId="4" type="noConversion"/>
  <conditionalFormatting sqref="B2:G9">
    <cfRule type="colorScale" priority="3">
      <colorScale>
        <cfvo type="min"/>
        <cfvo type="percentile" val="50"/>
        <cfvo type="max"/>
        <color rgb="FFFF0000"/>
        <color rgb="FF0070C0"/>
        <color rgb="FF63BE7B"/>
      </colorScale>
    </cfRule>
    <cfRule type="colorScale" priority="2">
      <colorScale>
        <cfvo type="num" val="0"/>
        <cfvo type="num" val="10"/>
        <color theme="4"/>
        <color rgb="FF7030A0"/>
      </colorScale>
    </cfRule>
    <cfRule type="colorScale" priority="1">
      <colorScale>
        <cfvo type="num" val="6000"/>
        <cfvo type="num" val="9000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Arithmatic function</vt:lpstr>
      <vt:lpstr>Conditional Operater</vt:lpstr>
      <vt:lpstr>Logical Functions</vt:lpstr>
      <vt:lpstr>Trace Precedent&amp;Dependent</vt:lpstr>
      <vt:lpstr>New Range</vt:lpstr>
      <vt:lpstr>String Functions</vt:lpstr>
      <vt:lpstr>Date Function</vt:lpstr>
      <vt:lpstr>Flash Fill</vt:lpstr>
      <vt:lpstr>statics function</vt:lpstr>
      <vt:lpstr>Sheet2</vt:lpstr>
      <vt:lpstr>New_ranage</vt:lpstr>
      <vt:lpstr>Sales_2025</vt:lpstr>
      <vt:lpstr>Sales_2026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Aarthi Dhakshnamurthi</dc:creator>
  <cp:lastModifiedBy>Aarthi Dhakshnamurthi</cp:lastModifiedBy>
  <dcterms:created xsi:type="dcterms:W3CDTF">2026-10-27T06:16:45Z</dcterms:created>
  <dcterms:modified xsi:type="dcterms:W3CDTF">2026-10-30T07:00:07Z</dcterms:modified>
</cp:coreProperties>
</file>